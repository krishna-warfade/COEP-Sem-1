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1bce5f9b04da9ca8/Desktop/SEM - 1/CL/"/>
    </mc:Choice>
  </mc:AlternateContent>
  <xr:revisionPtr revIDLastSave="137" documentId="11_F25DC773A252ABDACC10483D81DB63345ADE58EC" xr6:coauthVersionLast="47" xr6:coauthVersionMax="47" xr10:uidLastSave="{4FC07FA9-A189-4199-B676-27A276672E98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C2" i="2"/>
  <c r="H13" i="2"/>
  <c r="H12" i="2"/>
  <c r="H11" i="2"/>
  <c r="H10" i="2"/>
  <c r="H9" i="2"/>
  <c r="H8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D2" i="2"/>
  <c r="D3" i="2"/>
  <c r="D4" i="2"/>
  <c r="D5" i="2"/>
  <c r="D6" i="2"/>
  <c r="C2" i="1"/>
  <c r="C3" i="1"/>
  <c r="C4" i="1"/>
  <c r="C5" i="1"/>
  <c r="C6" i="1"/>
</calcChain>
</file>

<file path=xl/sharedStrings.xml><?xml version="1.0" encoding="utf-8"?>
<sst xmlns="http://schemas.openxmlformats.org/spreadsheetml/2006/main" count="51" uniqueCount="42">
  <si>
    <t>NAME</t>
  </si>
  <si>
    <t>Atharva</t>
  </si>
  <si>
    <t>Aryan</t>
  </si>
  <si>
    <t>Sahil</t>
  </si>
  <si>
    <t>Jay</t>
  </si>
  <si>
    <t>Parth</t>
  </si>
  <si>
    <t>Marks</t>
  </si>
  <si>
    <t>Result</t>
  </si>
  <si>
    <t>Grades</t>
  </si>
  <si>
    <t>Sophia Martin</t>
  </si>
  <si>
    <t>Liam Lewis</t>
  </si>
  <si>
    <t>Isabella Walker</t>
  </si>
  <si>
    <t>Mason Allen</t>
  </si>
  <si>
    <t>Ava Robinson</t>
  </si>
  <si>
    <t>Elijah Carter</t>
  </si>
  <si>
    <t>Mia Mitchell</t>
  </si>
  <si>
    <t>James Adams</t>
  </si>
  <si>
    <t>Charlotte King</t>
  </si>
  <si>
    <t>Benjamin Scott</t>
  </si>
  <si>
    <t>Amelia Hall</t>
  </si>
  <si>
    <t>Logan Young</t>
  </si>
  <si>
    <t>Harper Hernandez</t>
  </si>
  <si>
    <t>Jacob Nelson</t>
  </si>
  <si>
    <t>Lily Carter</t>
  </si>
  <si>
    <t>Samuel Perez</t>
  </si>
  <si>
    <t>Chloe Ramirez</t>
  </si>
  <si>
    <t>Daniel Bennett</t>
  </si>
  <si>
    <t>Grace Cooper</t>
  </si>
  <si>
    <t>Michael Turner</t>
  </si>
  <si>
    <t>Ella Sanchez</t>
  </si>
  <si>
    <t>Jack Walker</t>
  </si>
  <si>
    <t>Zoe Mitchell</t>
  </si>
  <si>
    <t>Matthew Evans</t>
  </si>
  <si>
    <t>Scarlett Collins</t>
  </si>
  <si>
    <t>No Of Students</t>
  </si>
  <si>
    <t>AA</t>
  </si>
  <si>
    <t>AB</t>
  </si>
  <si>
    <t>BB</t>
  </si>
  <si>
    <t>BC</t>
  </si>
  <si>
    <t>CC</t>
  </si>
  <si>
    <t>DD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</si>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</sst>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Sheet2!$H$6</c:f>
              <c:strCache>
                <c:ptCount val="1"/>
                <c:pt idx="0">
                  <c:v>No Of Students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Sheet2!$G$7:$G$13</c:f>
              <c:strCache>
                <c:ptCount val="7"/>
                <c:pt idx="0">
                  <c:v>AA</c:v>
                </c:pt>
                <c:pt idx="1">
                  <c:v>AB</c:v>
                </c:pt>
                <c:pt idx="2">
                  <c:v>BB</c:v>
                </c:pt>
                <c:pt idx="3">
                  <c:v>BC</c:v>
                </c:pt>
                <c:pt idx="4">
                  <c:v>CC</c:v>
                </c:pt>
                <c:pt idx="5">
                  <c:v>DD</c:v>
                </c:pt>
                <c:pt idx="6">
                  <c:v>FF</c:v>
                </c:pt>
              </c:strCache>
            </c:strRef>
          </c:cat>
          <c:val>
            <c:numRef>
              <c:f>Sheet2!$H$7:$H$13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F-43FF-A24F-77BBB2604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091856"/>
        <c:axId val="1386094736"/>
      </c:lineChart>
      <c:catAx>
        <c:axId val="138609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94736"/>
        <c:crosses val="autoZero"/>
        <c:auto val="1"/>
        <c:lblAlgn val="ctr"/>
        <c:lblOffset val="100"/>
        <c:noMultiLvlLbl val="0"/>
      </c:catAx>
      <c:valAx>
        <c:axId val="13860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9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282575</xdr:colOff>
      <xdr:row>5</xdr:row>
      <xdr:rowOff>25400</xdr:rowOff>
    </xdr:from>
    <xdr:to>
      <xdr:col>16</xdr:col>
      <xdr:colOff>587375</xdr:colOff>
      <xdr:row>20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E87105-763C-9761-4758-B4B71914E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D9" sqref="D9"/>
    </sheetView>
  </sheetViews>
  <sheetFormatPr defaultRowHeight="14.5" x14ac:dyDescent="0.35"/>
  <sheetData>
    <row r="1" spans="1:3" x14ac:dyDescent="0.35">
      <c r="A1" t="s">
        <v>0</v>
      </c>
      <c r="B1" t="s">
        <v>6</v>
      </c>
      <c r="C1" t="s">
        <v>7</v>
      </c>
    </row>
    <row r="2" spans="1:3" x14ac:dyDescent="0.35">
      <c r="A2" t="s">
        <v>1</v>
      </c>
      <c r="B2">
        <v>66</v>
      </c>
      <c r="C2" t="str">
        <f>IF(B2 &gt;= 75,"PASS","FAIL")</f>
        <v>FAIL</v>
      </c>
    </row>
    <row r="3" spans="1:3" x14ac:dyDescent="0.35">
      <c r="A3" t="s">
        <v>2</v>
      </c>
      <c r="B3">
        <v>72</v>
      </c>
      <c r="C3" t="str">
        <f t="shared" ref="C3:C6" si="0">IF(B3 &gt;= 75,"PASS","FAIL")</f>
        <v>FAIL</v>
      </c>
    </row>
    <row r="4" spans="1:3" x14ac:dyDescent="0.35">
      <c r="A4" t="s">
        <v>3</v>
      </c>
      <c r="B4">
        <v>86</v>
      </c>
      <c r="C4" t="str">
        <f t="shared" si="0"/>
        <v>PASS</v>
      </c>
    </row>
    <row r="5" spans="1:3" x14ac:dyDescent="0.35">
      <c r="A5" t="s">
        <v>4</v>
      </c>
      <c r="B5">
        <v>84</v>
      </c>
      <c r="C5" t="str">
        <f t="shared" si="0"/>
        <v>PASS</v>
      </c>
    </row>
    <row r="6" spans="1:3" x14ac:dyDescent="0.35">
      <c r="A6" t="s">
        <v>5</v>
      </c>
      <c r="B6">
        <v>75</v>
      </c>
      <c r="C6" t="str">
        <f t="shared" si="0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C68F-8032-4CC1-99F9-7A9E1FF523B3}">
  <dimension ref="A1:H31"/>
  <sheetViews>
    <sheetView tabSelected="1" workbookViewId="0">
      <selection activeCell="H7" sqref="H7"/>
    </sheetView>
  </sheetViews>
  <sheetFormatPr defaultRowHeight="14.5" x14ac:dyDescent="0.35"/>
  <cols>
    <col min="1" max="1" width="16.26953125" bestFit="1" customWidth="1"/>
    <col min="5" max="5" width="8.7265625" customWidth="1"/>
    <col min="8" max="8" width="13.453125" bestFit="1" customWidth="1"/>
  </cols>
  <sheetData>
    <row r="1" spans="1:8" x14ac:dyDescent="0.35">
      <c r="A1" t="s">
        <v>0</v>
      </c>
      <c r="B1" t="s">
        <v>6</v>
      </c>
      <c r="C1" t="s">
        <v>8</v>
      </c>
      <c r="D1" t="s">
        <v>7</v>
      </c>
    </row>
    <row r="2" spans="1:8" x14ac:dyDescent="0.35">
      <c r="A2" t="s">
        <v>1</v>
      </c>
      <c r="B2">
        <v>66</v>
      </c>
      <c r="C2">
        <f>F2</f>
        <v>0</v>
      </c>
      <c r="D2" t="str">
        <f>IF(B2 &gt;= 70,"PASS","FAIL")</f>
        <v>FAIL</v>
      </c>
    </row>
    <row r="3" spans="1:8" x14ac:dyDescent="0.35">
      <c r="A3" t="s">
        <v>2</v>
      </c>
      <c r="B3">
        <v>72</v>
      </c>
      <c r="C3" t="str">
        <f t="shared" ref="C3:C31" si="0">IF(B3&gt;=90,"AA",IF(B3&gt;=80,"AB",IF(B3&gt;=70,"BB",IF(B3&gt;=60,"BC",IF(B3&gt;=50,"CC",IF(B3&gt;=35,"DD","FF"))))))</f>
        <v>BB</v>
      </c>
      <c r="D3" t="str">
        <f t="shared" ref="D3:D31" si="1">IF(B3 &gt;= 65,"PASS","FAIL")</f>
        <v>PASS</v>
      </c>
    </row>
    <row r="4" spans="1:8" x14ac:dyDescent="0.35">
      <c r="A4" t="s">
        <v>3</v>
      </c>
      <c r="B4">
        <v>84</v>
      </c>
      <c r="C4" t="str">
        <f t="shared" si="0"/>
        <v>AB</v>
      </c>
      <c r="D4" t="str">
        <f t="shared" si="1"/>
        <v>PASS</v>
      </c>
    </row>
    <row r="5" spans="1:8" x14ac:dyDescent="0.35">
      <c r="A5" t="s">
        <v>4</v>
      </c>
      <c r="B5">
        <v>84</v>
      </c>
      <c r="C5" t="str">
        <f t="shared" si="0"/>
        <v>AB</v>
      </c>
      <c r="D5" t="str">
        <f t="shared" si="1"/>
        <v>PASS</v>
      </c>
    </row>
    <row r="6" spans="1:8" x14ac:dyDescent="0.35">
      <c r="A6" t="s">
        <v>5</v>
      </c>
      <c r="B6">
        <v>75</v>
      </c>
      <c r="C6" t="str">
        <f t="shared" si="0"/>
        <v>BB</v>
      </c>
      <c r="D6" t="str">
        <f t="shared" si="1"/>
        <v>PASS</v>
      </c>
      <c r="G6" t="s">
        <v>8</v>
      </c>
      <c r="H6" t="s">
        <v>34</v>
      </c>
    </row>
    <row r="7" spans="1:8" x14ac:dyDescent="0.35">
      <c r="A7" t="s">
        <v>9</v>
      </c>
      <c r="B7">
        <v>71</v>
      </c>
      <c r="C7" t="str">
        <f t="shared" si="0"/>
        <v>BB</v>
      </c>
      <c r="D7" t="str">
        <f t="shared" si="1"/>
        <v>PASS</v>
      </c>
      <c r="G7" t="s">
        <v>35</v>
      </c>
      <c r="H7">
        <f>I5</f>
        <v>0</v>
      </c>
    </row>
    <row r="8" spans="1:8" x14ac:dyDescent="0.35">
      <c r="A8" t="s">
        <v>10</v>
      </c>
      <c r="B8">
        <v>63</v>
      </c>
      <c r="C8" t="str">
        <f t="shared" si="0"/>
        <v>BC</v>
      </c>
      <c r="D8" t="str">
        <f t="shared" si="1"/>
        <v>FAIL</v>
      </c>
      <c r="G8" t="s">
        <v>36</v>
      </c>
      <c r="H8">
        <f>COUNTIF(C2:C31, "AB")</f>
        <v>5</v>
      </c>
    </row>
    <row r="9" spans="1:8" x14ac:dyDescent="0.35">
      <c r="A9" t="s">
        <v>11</v>
      </c>
      <c r="B9">
        <v>90</v>
      </c>
      <c r="C9" t="str">
        <f t="shared" si="0"/>
        <v>AA</v>
      </c>
      <c r="D9" t="str">
        <f t="shared" si="1"/>
        <v>PASS</v>
      </c>
      <c r="G9" t="s">
        <v>37</v>
      </c>
      <c r="H9">
        <f>COUNTIF(C2:C31, "BB")</f>
        <v>7</v>
      </c>
    </row>
    <row r="10" spans="1:8" x14ac:dyDescent="0.35">
      <c r="A10" t="s">
        <v>12</v>
      </c>
      <c r="B10">
        <v>45</v>
      </c>
      <c r="C10" t="str">
        <f t="shared" si="0"/>
        <v>DD</v>
      </c>
      <c r="D10" t="str">
        <f t="shared" si="1"/>
        <v>FAIL</v>
      </c>
      <c r="G10" t="s">
        <v>38</v>
      </c>
      <c r="H10">
        <f>COUNTIF(C2:C31, "BC")</f>
        <v>6</v>
      </c>
    </row>
    <row r="11" spans="1:8" x14ac:dyDescent="0.35">
      <c r="A11" t="s">
        <v>13</v>
      </c>
      <c r="B11">
        <v>79</v>
      </c>
      <c r="C11" t="str">
        <f t="shared" si="0"/>
        <v>BB</v>
      </c>
      <c r="D11" t="str">
        <f t="shared" si="1"/>
        <v>PASS</v>
      </c>
      <c r="G11" t="s">
        <v>39</v>
      </c>
      <c r="H11">
        <f>COUNTIF(C2:C31, "CC")</f>
        <v>3</v>
      </c>
    </row>
    <row r="12" spans="1:8" x14ac:dyDescent="0.35">
      <c r="A12" t="s">
        <v>14</v>
      </c>
      <c r="B12">
        <v>52</v>
      </c>
      <c r="C12" t="str">
        <f t="shared" si="0"/>
        <v>CC</v>
      </c>
      <c r="D12" t="str">
        <f t="shared" si="1"/>
        <v>FAIL</v>
      </c>
      <c r="G12" t="s">
        <v>40</v>
      </c>
      <c r="H12">
        <f>COUNTIF(C2:C31, "DD")</f>
        <v>3</v>
      </c>
    </row>
    <row r="13" spans="1:8" x14ac:dyDescent="0.35">
      <c r="A13" t="s">
        <v>15</v>
      </c>
      <c r="B13">
        <v>88</v>
      </c>
      <c r="C13" t="str">
        <f t="shared" si="0"/>
        <v>AB</v>
      </c>
      <c r="D13" t="str">
        <f t="shared" si="1"/>
        <v>PASS</v>
      </c>
      <c r="G13" t="s">
        <v>41</v>
      </c>
      <c r="H13">
        <f>COUNTIF(C2:C31, "FF")</f>
        <v>1</v>
      </c>
    </row>
    <row r="14" spans="1:8" x14ac:dyDescent="0.35">
      <c r="A14" t="s">
        <v>16</v>
      </c>
      <c r="B14">
        <v>39</v>
      </c>
      <c r="C14" t="str">
        <f t="shared" si="0"/>
        <v>DD</v>
      </c>
      <c r="D14" t="str">
        <f t="shared" si="1"/>
        <v>FAIL</v>
      </c>
    </row>
    <row r="15" spans="1:8" x14ac:dyDescent="0.35">
      <c r="A15" t="s">
        <v>17</v>
      </c>
      <c r="B15">
        <v>94</v>
      </c>
      <c r="C15" t="str">
        <f t="shared" si="0"/>
        <v>AA</v>
      </c>
      <c r="D15" t="str">
        <f t="shared" si="1"/>
        <v>PASS</v>
      </c>
    </row>
    <row r="16" spans="1:8" x14ac:dyDescent="0.35">
      <c r="A16" t="s">
        <v>18</v>
      </c>
      <c r="B16">
        <v>68</v>
      </c>
      <c r="C16" t="str">
        <f t="shared" si="0"/>
        <v>BC</v>
      </c>
      <c r="D16" t="str">
        <f t="shared" si="1"/>
        <v>PASS</v>
      </c>
    </row>
    <row r="17" spans="1:4" x14ac:dyDescent="0.35">
      <c r="A17" t="s">
        <v>19</v>
      </c>
      <c r="B17">
        <v>95</v>
      </c>
      <c r="C17" t="str">
        <f t="shared" si="0"/>
        <v>AA</v>
      </c>
      <c r="D17" t="str">
        <f t="shared" si="1"/>
        <v>PASS</v>
      </c>
    </row>
    <row r="18" spans="1:4" x14ac:dyDescent="0.35">
      <c r="A18" t="s">
        <v>20</v>
      </c>
      <c r="B18">
        <v>72</v>
      </c>
      <c r="C18" t="str">
        <f t="shared" si="0"/>
        <v>BB</v>
      </c>
      <c r="D18" t="str">
        <f t="shared" si="1"/>
        <v>PASS</v>
      </c>
    </row>
    <row r="19" spans="1:4" x14ac:dyDescent="0.35">
      <c r="A19" t="s">
        <v>21</v>
      </c>
      <c r="B19">
        <v>62</v>
      </c>
      <c r="C19" t="str">
        <f t="shared" si="0"/>
        <v>BC</v>
      </c>
      <c r="D19" t="str">
        <f t="shared" si="1"/>
        <v>FAIL</v>
      </c>
    </row>
    <row r="20" spans="1:4" x14ac:dyDescent="0.35">
      <c r="A20" t="s">
        <v>22</v>
      </c>
      <c r="B20">
        <v>31</v>
      </c>
      <c r="C20" t="str">
        <f t="shared" si="0"/>
        <v>FF</v>
      </c>
      <c r="D20" t="str">
        <f t="shared" si="1"/>
        <v>FAIL</v>
      </c>
    </row>
    <row r="21" spans="1:4" x14ac:dyDescent="0.35">
      <c r="A21" t="s">
        <v>23</v>
      </c>
      <c r="B21">
        <v>77</v>
      </c>
      <c r="C21" t="str">
        <f t="shared" si="0"/>
        <v>BB</v>
      </c>
      <c r="D21" t="str">
        <f t="shared" si="1"/>
        <v>PASS</v>
      </c>
    </row>
    <row r="22" spans="1:4" x14ac:dyDescent="0.35">
      <c r="A22" t="s">
        <v>24</v>
      </c>
      <c r="B22">
        <v>58</v>
      </c>
      <c r="C22" t="str">
        <f t="shared" si="0"/>
        <v>CC</v>
      </c>
      <c r="D22" t="str">
        <f t="shared" si="1"/>
        <v>FAIL</v>
      </c>
    </row>
    <row r="23" spans="1:4" x14ac:dyDescent="0.35">
      <c r="A23" t="s">
        <v>25</v>
      </c>
      <c r="B23">
        <v>85</v>
      </c>
      <c r="C23" t="str">
        <f t="shared" si="0"/>
        <v>AB</v>
      </c>
      <c r="D23" t="str">
        <f t="shared" si="1"/>
        <v>PASS</v>
      </c>
    </row>
    <row r="24" spans="1:4" x14ac:dyDescent="0.35">
      <c r="A24" t="s">
        <v>26</v>
      </c>
      <c r="B24">
        <v>66</v>
      </c>
      <c r="C24" t="str">
        <f t="shared" si="0"/>
        <v>BC</v>
      </c>
      <c r="D24" t="str">
        <f t="shared" si="1"/>
        <v>PASS</v>
      </c>
    </row>
    <row r="25" spans="1:4" x14ac:dyDescent="0.35">
      <c r="A25" t="s">
        <v>27</v>
      </c>
      <c r="B25">
        <v>73</v>
      </c>
      <c r="C25" t="str">
        <f t="shared" si="0"/>
        <v>BB</v>
      </c>
      <c r="D25" t="str">
        <f t="shared" si="1"/>
        <v>PASS</v>
      </c>
    </row>
    <row r="26" spans="1:4" x14ac:dyDescent="0.35">
      <c r="A26" t="s">
        <v>28</v>
      </c>
      <c r="B26">
        <v>51</v>
      </c>
      <c r="C26" t="str">
        <f t="shared" si="0"/>
        <v>CC</v>
      </c>
      <c r="D26" t="str">
        <f t="shared" si="1"/>
        <v>FAIL</v>
      </c>
    </row>
    <row r="27" spans="1:4" x14ac:dyDescent="0.35">
      <c r="A27" t="s">
        <v>29</v>
      </c>
      <c r="B27">
        <v>64</v>
      </c>
      <c r="C27" t="str">
        <f t="shared" si="0"/>
        <v>BC</v>
      </c>
      <c r="D27" t="str">
        <f t="shared" si="1"/>
        <v>FAIL</v>
      </c>
    </row>
    <row r="28" spans="1:4" x14ac:dyDescent="0.35">
      <c r="A28" t="s">
        <v>30</v>
      </c>
      <c r="B28">
        <v>48</v>
      </c>
      <c r="C28" t="str">
        <f t="shared" si="0"/>
        <v>DD</v>
      </c>
      <c r="D28" t="str">
        <f t="shared" si="1"/>
        <v>FAIL</v>
      </c>
    </row>
    <row r="29" spans="1:4" x14ac:dyDescent="0.35">
      <c r="A29" t="s">
        <v>31</v>
      </c>
      <c r="B29">
        <v>90</v>
      </c>
      <c r="C29" t="str">
        <f t="shared" si="0"/>
        <v>AA</v>
      </c>
      <c r="D29" t="str">
        <f t="shared" si="1"/>
        <v>PASS</v>
      </c>
    </row>
    <row r="30" spans="1:4" x14ac:dyDescent="0.35">
      <c r="A30" t="s">
        <v>32</v>
      </c>
      <c r="B30">
        <v>69</v>
      </c>
      <c r="C30" t="str">
        <f t="shared" si="0"/>
        <v>BC</v>
      </c>
      <c r="D30" t="str">
        <f t="shared" si="1"/>
        <v>PASS</v>
      </c>
    </row>
    <row r="31" spans="1:4" x14ac:dyDescent="0.35">
      <c r="A31" t="s">
        <v>33</v>
      </c>
      <c r="B31">
        <v>82</v>
      </c>
      <c r="C31" t="str">
        <f t="shared" si="0"/>
        <v>AB</v>
      </c>
      <c r="D31" t="str">
        <f t="shared" si="1"/>
        <v>PASS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92FE-73F8-4561-A017-709F1ABFC2C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Warfade</dc:creator>
  <cp:lastModifiedBy>Krishna Warfade</cp:lastModifiedBy>
  <dcterms:created xsi:type="dcterms:W3CDTF">2015-06-05T18:17:20Z</dcterms:created>
  <dcterms:modified xsi:type="dcterms:W3CDTF">2025-02-06T08:14:57Z</dcterms:modified>
</cp:coreProperties>
</file>